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Software Testing Practical work\"/>
    </mc:Choice>
  </mc:AlternateContent>
  <xr:revisionPtr revIDLastSave="0" documentId="11_2843841F296E27F9DB9FD7E9DFC93AFCCA4E6BC6" xr6:coauthVersionLast="47" xr6:coauthVersionMax="47" xr10:uidLastSave="{00000000-0000-0000-0000-000000000000}"/>
  <bookViews>
    <workbookView xWindow="-108" yWindow="-108" windowWidth="23256" windowHeight="12456" xr2:uid="{00000000-000D-0000-FFFF-FFFF00000000}"/>
  </bookViews>
  <sheets>
    <sheet name="Test Cases" sheetId="1" r:id="rId1"/>
    <sheet name="Result Summary" sheetId="2" r:id="rId2"/>
  </sheets>
  <definedNames>
    <definedName name="_xlnm._FilterDatabase" localSheetId="0" hidden="1">'Test Cases'!$A$6:$O$13</definedName>
    <definedName name="_xlnm.Print_Titles" localSheetId="0">'Test Cases'!$1:$6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4" i="2"/>
  <c r="B3" i="2"/>
</calcChain>
</file>

<file path=xl/sharedStrings.xml><?xml version="1.0" encoding="utf-8"?>
<sst xmlns="http://schemas.openxmlformats.org/spreadsheetml/2006/main" count="129" uniqueCount="91">
  <si>
    <t>SOFTWARE TESTING PRACTICAL WORK</t>
  </si>
  <si>
    <t>Task 1:</t>
  </si>
  <si>
    <t>Equivalence Partitioning — Test a function that categorizes users into age groups.</t>
  </si>
  <si>
    <t>Task 2:</t>
  </si>
  <si>
    <t>Boundary Value Analysis — Test a system that processes date inputs.</t>
  </si>
  <si>
    <t>Assumptions for this example:</t>
  </si>
  <si>
    <t>Valid date range: 01-Jan-2020 to 31-Dec-2026 inclusive. Sample age category: Adult = 18–59 years inclusive.</t>
  </si>
  <si>
    <t>Test Scenario ID</t>
  </si>
  <si>
    <t>Test Case ID</t>
  </si>
  <si>
    <t>Test Case Description</t>
  </si>
  <si>
    <t>Test Priority</t>
  </si>
  <si>
    <t>Test Date</t>
  </si>
  <si>
    <t>Pre-Requisite</t>
  </si>
  <si>
    <t>Post-Requisite</t>
  </si>
  <si>
    <t>Test Execution Steps</t>
  </si>
  <si>
    <t>Input</t>
  </si>
  <si>
    <t>Expected Output</t>
  </si>
  <si>
    <t>Actual Output</t>
  </si>
  <si>
    <t>Test Browser</t>
  </si>
  <si>
    <t>Test Result</t>
  </si>
  <si>
    <t>Test Comments</t>
  </si>
  <si>
    <t>Technique</t>
  </si>
  <si>
    <t>BVA-01</t>
  </si>
  <si>
    <t>TC01</t>
  </si>
  <si>
    <t>Verify minimum valid date is accepted</t>
  </si>
  <si>
    <t>High</t>
  </si>
  <si>
    <t>Date input form is open; system accepts dates in the configured valid range.</t>
  </si>
  <si>
    <t>Date is accepted and processed.</t>
  </si>
  <si>
    <t>1. Open the date input form.
2. Enter the minimum permitted date.
3. Submit the form.</t>
  </si>
  <si>
    <t>01-Jan-2020</t>
  </si>
  <si>
    <t>Date is accepted as valid.</t>
  </si>
  <si>
    <t>Date accepted as valid.</t>
  </si>
  <si>
    <t>N/A</t>
  </si>
  <si>
    <t>Pass</t>
  </si>
  <si>
    <t>Minimum boundary value.</t>
  </si>
  <si>
    <t>Boundary Value Analysis</t>
  </si>
  <si>
    <t>BVA-02</t>
  </si>
  <si>
    <t>TC02</t>
  </si>
  <si>
    <t>Verify maximum valid date is accepted</t>
  </si>
  <si>
    <t>1. Open the date input form.
2. Enter the maximum permitted date.
3. Submit the form.</t>
  </si>
  <si>
    <t>31-Dec-2026</t>
  </si>
  <si>
    <t>Maximum boundary value.</t>
  </si>
  <si>
    <t>BVA-03</t>
  </si>
  <si>
    <t>TC03</t>
  </si>
  <si>
    <t>Verify a date immediately below the valid range is rejected</t>
  </si>
  <si>
    <t>Invalid date is not processed.</t>
  </si>
  <si>
    <t>1. Open the date input form.
2. Enter the date one day before the minimum.
3. Submit the form.</t>
  </si>
  <si>
    <t>31-Dec-2019</t>
  </si>
  <si>
    <t>System rejects the date and shows a validation message.</t>
  </si>
  <si>
    <t>Date rejected; validation message displayed.</t>
  </si>
  <si>
    <t>Just below minimum boundary.</t>
  </si>
  <si>
    <t>BVA-04</t>
  </si>
  <si>
    <t>TC04</t>
  </si>
  <si>
    <t>Verify a date immediately above the valid range is rejected</t>
  </si>
  <si>
    <t>1. Open the date input form.
2. Enter the date one day after the maximum.
3. Submit the form.</t>
  </si>
  <si>
    <t>01-Jan-2027</t>
  </si>
  <si>
    <t>Just above maximum boundary.</t>
  </si>
  <si>
    <t>EP-01</t>
  </si>
  <si>
    <t>TC05</t>
  </si>
  <si>
    <t>Verify an age below the lower limit of the Adult category</t>
  </si>
  <si>
    <t>Age-category function is available; Adult category is defined as 18–59 years.</t>
  </si>
  <si>
    <t>Age is classified into the correct category.</t>
  </si>
  <si>
    <t>1. Open or call the age-category function.
2. Enter an age below 18.
3. Run the function.</t>
  </si>
  <si>
    <t>17 years</t>
  </si>
  <si>
    <t>Age is not classified as Adult; it is assigned to the lower age group or flagged according to the specification.</t>
  </si>
  <si>
    <t>Age is not classified as Adult.</t>
  </si>
  <si>
    <t>Representative value from below-limit partition.</t>
  </si>
  <si>
    <t>Equivalence Partitioning</t>
  </si>
  <si>
    <t>EP-02</t>
  </si>
  <si>
    <t>TC06</t>
  </si>
  <si>
    <t>Verify an age within the valid Adult category</t>
  </si>
  <si>
    <t>1. Open or call the age-category function.
2. Enter an age within 18–59.
3. Run the function.</t>
  </si>
  <si>
    <t>30 years</t>
  </si>
  <si>
    <t>Age is classified as Adult.</t>
  </si>
  <si>
    <t>Age classified as Adult.</t>
  </si>
  <si>
    <t>Representative value from valid partition.</t>
  </si>
  <si>
    <t>EP-03</t>
  </si>
  <si>
    <t>TC07</t>
  </si>
  <si>
    <t>Verify an age above the upper limit of the Adult category</t>
  </si>
  <si>
    <t>1. Open or call the age-category function.
2. Enter an age above 59.
3. Run the function.</t>
  </si>
  <si>
    <t>60 years</t>
  </si>
  <si>
    <t>Age is not classified as Adult; it is assigned to the upper age group or flagged according to the specification.</t>
  </si>
  <si>
    <t>Representative value from above-limit partition.</t>
  </si>
  <si>
    <t>Note:</t>
  </si>
  <si>
    <t>Pass values are filled as requested for the practical example. Verify the behavior in the actual system before reporting executed test results. The date range and Adult age range are illustrative assumptions; replace them if your instructor specifies different limits.</t>
  </si>
  <si>
    <t>TEST EXECUTION SUMMARY</t>
  </si>
  <si>
    <t>Metric</t>
  </si>
  <si>
    <t>Count</t>
  </si>
  <si>
    <t>Total test cases</t>
  </si>
  <si>
    <t>Fail</t>
  </si>
  <si>
    <t>Not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</si>
</sst>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Calibri"/>
    </font>
    <font>
      <b/>
      <sz val="11"/>
      <name val="Calibri"/>
    </font>
    <font>
      <b/>
      <sz val="10"/>
      <color rgb="FFFFFFFF"/>
      <name val="Calibri"/>
    </font>
    <font>
      <b/>
      <sz val="11"/>
      <color rgb="FF38761D"/>
      <name val="Calibri"/>
    </font>
    <font>
      <b/>
      <sz val="11"/>
      <color rgb="FFFFFFFF"/>
      <name val="Calibri"/>
    </font>
  </fonts>
  <fills count="6">
    <fill>
      <patternFill patternType="none"/>
    </fill>
    <fill>
      <patternFill patternType="gray125"/>
    </fill>
    <fill>
      <patternFill patternType="solid">
        <fgColor rgb="FF667A8A"/>
      </patternFill>
    </fill>
    <fill>
      <patternFill patternType="solid">
        <fgColor rgb="FFE9EEF2"/>
      </patternFill>
    </fill>
    <fill>
      <patternFill patternType="solid">
        <fgColor rgb="FF7A6667"/>
      </patternFill>
    </fill>
    <fill>
      <patternFill patternType="solid">
        <fgColor rgb="FFE2F0D9"/>
      </patternFill>
    </fill>
  </fills>
  <borders count="2">
    <border>
      <left/>
      <right/>
      <top/>
      <bottom/>
      <diagonal/>
    </border>
    <border>
      <left style="thin">
        <color rgb="FFC9CED3"/>
      </left>
      <right style="thin">
        <color rgb="FFC9CED3"/>
      </right>
      <top style="thin">
        <color rgb="FFC9CED3"/>
      </top>
      <bottom style="thin">
        <color rgb="FFC9CED3"/>
      </bottom>
      <diagonal/>
    </border>
  </borders>
  <cellStyleXfs count="1">
    <xf numFmtId="0" fontId="0" fillId="0" borderId="0"/>
  </cellStyleXfs>
  <cellXfs count="14">
    <xf numFmtId="0" fontId="0" fillId="0" borderId="0" xfId="0"/>
    <xf numFmtId="0" fontId="2" fillId="0" borderId="0" xfId="0" applyFont="1" applyAlignment="1">
      <alignment vertical="center" wrapText="1"/>
    </xf>
    <xf numFmtId="0" fontId="2" fillId="3" borderId="0" xfId="0" applyFont="1" applyFill="1"/>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4" fillId="5" borderId="1" xfId="0" applyFont="1" applyFill="1" applyBorder="1" applyAlignment="1">
      <alignment vertical="top" wrapText="1"/>
    </xf>
    <xf numFmtId="0" fontId="2" fillId="0" borderId="0" xfId="0" applyFont="1"/>
    <xf numFmtId="0" fontId="5" fillId="4" borderId="1" xfId="0" applyFont="1" applyFill="1" applyBorder="1" applyAlignment="1">
      <alignment horizontal="center"/>
    </xf>
    <xf numFmtId="0" fontId="0" fillId="0" borderId="1" xfId="0" applyBorder="1" applyAlignment="1">
      <alignment vertical="center"/>
    </xf>
    <xf numFmtId="0" fontId="0" fillId="3" borderId="0" xfId="0" applyFill="1" applyAlignment="1">
      <alignment vertical="center" wrapText="1"/>
    </xf>
    <xf numFmtId="0" fontId="0" fillId="0" borderId="0" xfId="0"/>
    <xf numFmtId="0" fontId="0" fillId="0" borderId="0" xfId="0" applyAlignment="1">
      <alignment vertical="center" wrapText="1"/>
    </xf>
    <xf numFmtId="0" fontId="0" fillId="0" borderId="0" xfId="0"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5"/>
  <sheetViews>
    <sheetView showGridLines="0" tabSelected="1" zoomScale="75" workbookViewId="0">
      <pane ySplit="6" topLeftCell="A7" activePane="bottomLeft" state="frozen"/>
      <selection pane="bottomLeft" activeCell="B2" sqref="B2:O2"/>
    </sheetView>
  </sheetViews>
  <sheetFormatPr defaultRowHeight="14.4" x14ac:dyDescent="0.3"/>
  <cols>
    <col min="1" max="1" width="14" customWidth="1"/>
    <col min="2" max="2" width="12" customWidth="1"/>
    <col min="3" max="3" width="38" customWidth="1"/>
    <col min="4" max="4" width="13" customWidth="1"/>
    <col min="5" max="5" width="14" customWidth="1"/>
    <col min="6" max="6" width="34" customWidth="1"/>
    <col min="7" max="7" width="30" customWidth="1"/>
    <col min="8" max="8" width="42" customWidth="1"/>
    <col min="9" max="9" width="21" customWidth="1"/>
    <col min="10" max="10" width="42" customWidth="1"/>
    <col min="11" max="11" width="37" customWidth="1"/>
    <col min="12" max="13" width="13" customWidth="1"/>
    <col min="14" max="14" width="34" customWidth="1"/>
    <col min="15" max="15" width="26" customWidth="1"/>
  </cols>
  <sheetData>
    <row r="1" spans="1:15" ht="30" customHeight="1" x14ac:dyDescent="0.3">
      <c r="A1" s="13" t="s">
        <v>0</v>
      </c>
      <c r="B1" s="10"/>
      <c r="C1" s="10"/>
      <c r="D1" s="10"/>
      <c r="E1" s="10"/>
      <c r="F1" s="10"/>
      <c r="G1" s="10"/>
      <c r="H1" s="10"/>
      <c r="I1" s="10"/>
      <c r="J1" s="10"/>
      <c r="K1" s="10"/>
      <c r="L1" s="10"/>
      <c r="M1" s="10"/>
      <c r="N1" s="10"/>
      <c r="O1" s="10"/>
    </row>
    <row r="2" spans="1:15" ht="25.05" customHeight="1" x14ac:dyDescent="0.3">
      <c r="A2" s="1" t="s">
        <v>1</v>
      </c>
      <c r="B2" s="11" t="s">
        <v>2</v>
      </c>
      <c r="C2" s="11"/>
      <c r="D2" s="11"/>
      <c r="E2" s="11"/>
      <c r="F2" s="11"/>
      <c r="G2" s="11"/>
      <c r="H2" s="11"/>
      <c r="I2" s="11"/>
      <c r="J2" s="11"/>
      <c r="K2" s="11"/>
      <c r="L2" s="11"/>
      <c r="M2" s="11"/>
      <c r="N2" s="11"/>
      <c r="O2" s="11"/>
    </row>
    <row r="3" spans="1:15" ht="25.05" customHeight="1" x14ac:dyDescent="0.3">
      <c r="A3" s="1" t="s">
        <v>3</v>
      </c>
      <c r="B3" s="11" t="s">
        <v>4</v>
      </c>
      <c r="C3" s="11"/>
      <c r="D3" s="11"/>
      <c r="E3" s="11"/>
      <c r="F3" s="11"/>
      <c r="G3" s="11"/>
      <c r="H3" s="11"/>
      <c r="I3" s="11"/>
      <c r="J3" s="11"/>
      <c r="K3" s="11"/>
      <c r="L3" s="11"/>
      <c r="M3" s="11"/>
      <c r="N3" s="11"/>
      <c r="O3" s="11"/>
    </row>
    <row r="4" spans="1:15" ht="31.95" customHeight="1" x14ac:dyDescent="0.3">
      <c r="A4" s="2" t="s">
        <v>5</v>
      </c>
      <c r="B4" s="9" t="s">
        <v>6</v>
      </c>
      <c r="C4" s="10"/>
      <c r="D4" s="10"/>
      <c r="E4" s="10"/>
      <c r="F4" s="10"/>
      <c r="G4" s="10"/>
      <c r="H4" s="10"/>
      <c r="I4" s="10"/>
      <c r="J4" s="10"/>
      <c r="K4" s="10"/>
      <c r="L4" s="10"/>
      <c r="M4" s="10"/>
      <c r="N4" s="10"/>
      <c r="O4" s="10"/>
    </row>
    <row r="6" spans="1:15" ht="42" customHeight="1" x14ac:dyDescent="0.3">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row>
    <row r="7" spans="1:15" ht="82.05" customHeight="1" x14ac:dyDescent="0.3">
      <c r="A7" s="4" t="s">
        <v>22</v>
      </c>
      <c r="B7" s="4" t="s">
        <v>23</v>
      </c>
      <c r="C7" s="4" t="s">
        <v>24</v>
      </c>
      <c r="D7" s="4" t="s">
        <v>25</v>
      </c>
      <c r="E7" s="4"/>
      <c r="F7" s="4" t="s">
        <v>26</v>
      </c>
      <c r="G7" s="4" t="s">
        <v>27</v>
      </c>
      <c r="H7" s="4" t="s">
        <v>28</v>
      </c>
      <c r="I7" s="4" t="s">
        <v>29</v>
      </c>
      <c r="J7" s="4" t="s">
        <v>30</v>
      </c>
      <c r="K7" s="4" t="s">
        <v>31</v>
      </c>
      <c r="L7" s="4" t="s">
        <v>32</v>
      </c>
      <c r="M7" s="5" t="s">
        <v>33</v>
      </c>
      <c r="N7" s="4" t="s">
        <v>34</v>
      </c>
      <c r="O7" s="4" t="s">
        <v>35</v>
      </c>
    </row>
    <row r="8" spans="1:15" ht="82.05" customHeight="1" x14ac:dyDescent="0.3">
      <c r="A8" s="4" t="s">
        <v>36</v>
      </c>
      <c r="B8" s="4" t="s">
        <v>37</v>
      </c>
      <c r="C8" s="4" t="s">
        <v>38</v>
      </c>
      <c r="D8" s="4" t="s">
        <v>25</v>
      </c>
      <c r="E8" s="4"/>
      <c r="F8" s="4" t="s">
        <v>26</v>
      </c>
      <c r="G8" s="4" t="s">
        <v>27</v>
      </c>
      <c r="H8" s="4" t="s">
        <v>39</v>
      </c>
      <c r="I8" s="4" t="s">
        <v>40</v>
      </c>
      <c r="J8" s="4" t="s">
        <v>30</v>
      </c>
      <c r="K8" s="4" t="s">
        <v>31</v>
      </c>
      <c r="L8" s="4" t="s">
        <v>32</v>
      </c>
      <c r="M8" s="5" t="s">
        <v>33</v>
      </c>
      <c r="N8" s="4" t="s">
        <v>41</v>
      </c>
      <c r="O8" s="4" t="s">
        <v>35</v>
      </c>
    </row>
    <row r="9" spans="1:15" ht="82.05" customHeight="1" x14ac:dyDescent="0.3">
      <c r="A9" s="4" t="s">
        <v>42</v>
      </c>
      <c r="B9" s="4" t="s">
        <v>43</v>
      </c>
      <c r="C9" s="4" t="s">
        <v>44</v>
      </c>
      <c r="D9" s="4" t="s">
        <v>25</v>
      </c>
      <c r="E9" s="4"/>
      <c r="F9" s="4" t="s">
        <v>26</v>
      </c>
      <c r="G9" s="4" t="s">
        <v>45</v>
      </c>
      <c r="H9" s="4" t="s">
        <v>46</v>
      </c>
      <c r="I9" s="4" t="s">
        <v>47</v>
      </c>
      <c r="J9" s="4" t="s">
        <v>48</v>
      </c>
      <c r="K9" s="4" t="s">
        <v>49</v>
      </c>
      <c r="L9" s="4" t="s">
        <v>32</v>
      </c>
      <c r="M9" s="5" t="s">
        <v>33</v>
      </c>
      <c r="N9" s="4" t="s">
        <v>50</v>
      </c>
      <c r="O9" s="4" t="s">
        <v>35</v>
      </c>
    </row>
    <row r="10" spans="1:15" ht="82.05" customHeight="1" x14ac:dyDescent="0.3">
      <c r="A10" s="4" t="s">
        <v>51</v>
      </c>
      <c r="B10" s="4" t="s">
        <v>52</v>
      </c>
      <c r="C10" s="4" t="s">
        <v>53</v>
      </c>
      <c r="D10" s="4" t="s">
        <v>25</v>
      </c>
      <c r="E10" s="4"/>
      <c r="F10" s="4" t="s">
        <v>26</v>
      </c>
      <c r="G10" s="4" t="s">
        <v>45</v>
      </c>
      <c r="H10" s="4" t="s">
        <v>54</v>
      </c>
      <c r="I10" s="4" t="s">
        <v>55</v>
      </c>
      <c r="J10" s="4" t="s">
        <v>48</v>
      </c>
      <c r="K10" s="4" t="s">
        <v>49</v>
      </c>
      <c r="L10" s="4" t="s">
        <v>32</v>
      </c>
      <c r="M10" s="5" t="s">
        <v>33</v>
      </c>
      <c r="N10" s="4" t="s">
        <v>56</v>
      </c>
      <c r="O10" s="4" t="s">
        <v>35</v>
      </c>
    </row>
    <row r="11" spans="1:15" ht="82.05" customHeight="1" x14ac:dyDescent="0.3">
      <c r="A11" s="4" t="s">
        <v>57</v>
      </c>
      <c r="B11" s="4" t="s">
        <v>58</v>
      </c>
      <c r="C11" s="4" t="s">
        <v>59</v>
      </c>
      <c r="D11" s="4" t="s">
        <v>25</v>
      </c>
      <c r="E11" s="4"/>
      <c r="F11" s="4" t="s">
        <v>60</v>
      </c>
      <c r="G11" s="4" t="s">
        <v>61</v>
      </c>
      <c r="H11" s="4" t="s">
        <v>62</v>
      </c>
      <c r="I11" s="4" t="s">
        <v>63</v>
      </c>
      <c r="J11" s="4" t="s">
        <v>64</v>
      </c>
      <c r="K11" s="4" t="s">
        <v>65</v>
      </c>
      <c r="L11" s="4" t="s">
        <v>32</v>
      </c>
      <c r="M11" s="5" t="s">
        <v>33</v>
      </c>
      <c r="N11" s="4" t="s">
        <v>66</v>
      </c>
      <c r="O11" s="4" t="s">
        <v>67</v>
      </c>
    </row>
    <row r="12" spans="1:15" ht="82.05" customHeight="1" x14ac:dyDescent="0.3">
      <c r="A12" s="4" t="s">
        <v>68</v>
      </c>
      <c r="B12" s="4" t="s">
        <v>69</v>
      </c>
      <c r="C12" s="4" t="s">
        <v>70</v>
      </c>
      <c r="D12" s="4" t="s">
        <v>25</v>
      </c>
      <c r="E12" s="4"/>
      <c r="F12" s="4" t="s">
        <v>60</v>
      </c>
      <c r="G12" s="4" t="s">
        <v>61</v>
      </c>
      <c r="H12" s="4" t="s">
        <v>71</v>
      </c>
      <c r="I12" s="4" t="s">
        <v>72</v>
      </c>
      <c r="J12" s="4" t="s">
        <v>73</v>
      </c>
      <c r="K12" s="4" t="s">
        <v>74</v>
      </c>
      <c r="L12" s="4" t="s">
        <v>32</v>
      </c>
      <c r="M12" s="5" t="s">
        <v>33</v>
      </c>
      <c r="N12" s="4" t="s">
        <v>75</v>
      </c>
      <c r="O12" s="4" t="s">
        <v>67</v>
      </c>
    </row>
    <row r="13" spans="1:15" ht="82.05" customHeight="1" x14ac:dyDescent="0.3">
      <c r="A13" s="4" t="s">
        <v>76</v>
      </c>
      <c r="B13" s="4" t="s">
        <v>77</v>
      </c>
      <c r="C13" s="4" t="s">
        <v>78</v>
      </c>
      <c r="D13" s="4" t="s">
        <v>25</v>
      </c>
      <c r="E13" s="4"/>
      <c r="F13" s="4" t="s">
        <v>60</v>
      </c>
      <c r="G13" s="4" t="s">
        <v>61</v>
      </c>
      <c r="H13" s="4" t="s">
        <v>79</v>
      </c>
      <c r="I13" s="4" t="s">
        <v>80</v>
      </c>
      <c r="J13" s="4" t="s">
        <v>81</v>
      </c>
      <c r="K13" s="4" t="s">
        <v>65</v>
      </c>
      <c r="L13" s="4" t="s">
        <v>32</v>
      </c>
      <c r="M13" s="5" t="s">
        <v>33</v>
      </c>
      <c r="N13" s="4" t="s">
        <v>82</v>
      </c>
      <c r="O13" s="4" t="s">
        <v>67</v>
      </c>
    </row>
    <row r="15" spans="1:15" ht="40.049999999999997" customHeight="1" x14ac:dyDescent="0.3">
      <c r="A15" s="6" t="s">
        <v>83</v>
      </c>
      <c r="B15" s="12" t="s">
        <v>84</v>
      </c>
      <c r="C15" s="10"/>
      <c r="D15" s="10"/>
      <c r="E15" s="10"/>
      <c r="F15" s="10"/>
      <c r="G15" s="10"/>
      <c r="H15" s="10"/>
      <c r="I15" s="10"/>
      <c r="J15" s="10"/>
      <c r="K15" s="10"/>
      <c r="L15" s="10"/>
      <c r="M15" s="10"/>
      <c r="N15" s="10"/>
      <c r="O15" s="10"/>
    </row>
  </sheetData>
  <autoFilter ref="A6:O13" xr:uid="{00000000-0009-0000-0000-000000000000}"/>
  <mergeCells count="5">
    <mergeCell ref="B4:O4"/>
    <mergeCell ref="B2:O2"/>
    <mergeCell ref="B15:O15"/>
    <mergeCell ref="A1:O1"/>
    <mergeCell ref="B3:O3"/>
  </mergeCells>
  <dataValidations count="1">
    <dataValidation type="list" errorTitle="Invalid test result" error="Choose Pass, Fail, or Not Run." promptTitle="Test Result" prompt="Select the observed result." sqref="M7:M13" xr:uid="{00000000-0002-0000-0000-000000000000}">
      <formula1>"Pass,Fail,Not Run"</formula1>
    </dataValidation>
  </dataValidations>
  <pageMargins left="0.2" right="0.2" top="0.4" bottom="0.4" header="0.2" footer="0.2"/>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pane ySplit="2" topLeftCell="A3" activePane="bottomLeft" state="frozen"/>
      <selection pane="bottomLeft" sqref="A1:B1"/>
    </sheetView>
  </sheetViews>
  <sheetFormatPr defaultRowHeight="14.4" x14ac:dyDescent="0.3"/>
  <cols>
    <col min="1" max="1" width="25" customWidth="1"/>
    <col min="2" max="2" width="15" customWidth="1"/>
  </cols>
  <sheetData>
    <row r="1" spans="1:2" ht="30" customHeight="1" x14ac:dyDescent="0.3">
      <c r="A1" s="13" t="s">
        <v>85</v>
      </c>
      <c r="B1" s="10"/>
    </row>
    <row r="2" spans="1:2" x14ac:dyDescent="0.3">
      <c r="A2" s="7" t="s">
        <v>86</v>
      </c>
      <c r="B2" s="7" t="s">
        <v>87</v>
      </c>
    </row>
    <row r="3" spans="1:2" x14ac:dyDescent="0.3">
      <c r="A3" s="8" t="s">
        <v>88</v>
      </c>
      <c r="B3" s="8">
        <f>COUNTA('Test Cases'!B7:B13)</f>
        <v>7</v>
      </c>
    </row>
    <row r="4" spans="1:2" x14ac:dyDescent="0.3">
      <c r="A4" s="8" t="s">
        <v>33</v>
      </c>
      <c r="B4" s="8">
        <f>COUNTIF('Test Cases'!M7:M13,"Pass")</f>
        <v>7</v>
      </c>
    </row>
    <row r="5" spans="1:2" x14ac:dyDescent="0.3">
      <c r="A5" s="8" t="s">
        <v>89</v>
      </c>
      <c r="B5" s="8">
        <f>COUNTIF('Test Cases'!M7:M13,"Fail")</f>
        <v>0</v>
      </c>
    </row>
    <row r="6" spans="1:2" x14ac:dyDescent="0.3">
      <c r="A6" s="8" t="s">
        <v>90</v>
      </c>
      <c r="B6" s="8">
        <f>COUNTIF('Test Cases'!M7:M13,"Not Run")</f>
        <v>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Cases</vt:lpstr>
      <vt:lpstr>Result Summary</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Jefferson G Buduo</cp:lastModifiedBy>
  <dcterms:created xsi:type="dcterms:W3CDTF">2026-10-27T03:42:51Z</dcterms:created>
  <dcterms:modified xsi:type="dcterms:W3CDTF">2026-10-27T03:48:16Z</dcterms:modified>
</cp:coreProperties>
</file>